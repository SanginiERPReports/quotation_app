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esktop/skyteria_python/Cost Sheet Python Generator/quotation_app/"/>
    </mc:Choice>
  </mc:AlternateContent>
  <xr:revisionPtr revIDLastSave="0" documentId="13_ncr:1_{DBE04A3C-2B2D-8346-BA7C-82FFCB8B28C1}" xr6:coauthVersionLast="47" xr6:coauthVersionMax="47" xr10:uidLastSave="{00000000-0000-0000-0000-000000000000}"/>
  <bookViews>
    <workbookView xWindow="3080" yWindow="2060" windowWidth="28040" windowHeight="17440" xr2:uid="{A5C7562C-CA75-9445-A84D-0B79A2D20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2" i="1"/>
  <c r="O3" i="1"/>
  <c r="O4" i="1"/>
  <c r="O5" i="1"/>
  <c r="O6" i="1"/>
  <c r="O7" i="1"/>
  <c r="O8" i="1"/>
  <c r="O9" i="1"/>
  <c r="O2" i="1"/>
  <c r="N3" i="1"/>
  <c r="N4" i="1"/>
  <c r="N5" i="1"/>
  <c r="N6" i="1"/>
  <c r="N7" i="1"/>
  <c r="N8" i="1"/>
  <c r="N9" i="1"/>
  <c r="N2" i="1"/>
  <c r="R2" i="1"/>
  <c r="Q3" i="1"/>
  <c r="R3" i="1" s="1"/>
  <c r="Q4" i="1"/>
  <c r="R4" i="1" s="1"/>
  <c r="Q5" i="1"/>
  <c r="R5" i="1" s="1"/>
  <c r="Q6" i="1"/>
  <c r="R6" i="1" s="1"/>
  <c r="Q7" i="1"/>
  <c r="R7" i="1" s="1"/>
  <c r="Q8" i="1"/>
  <c r="R8" i="1" s="1"/>
  <c r="Q9" i="1"/>
  <c r="R9" i="1" s="1"/>
  <c r="Q2" i="1"/>
  <c r="J3" i="1"/>
  <c r="J4" i="1"/>
  <c r="J5" i="1"/>
  <c r="J6" i="1"/>
  <c r="J7" i="1"/>
  <c r="J8" i="1"/>
  <c r="J9" i="1"/>
  <c r="J2" i="1"/>
  <c r="F3" i="1"/>
  <c r="F4" i="1"/>
  <c r="F5" i="1"/>
  <c r="F6" i="1"/>
  <c r="F7" i="1"/>
  <c r="F8" i="1"/>
  <c r="F9" i="1"/>
  <c r="F2" i="1"/>
  <c r="S3" i="1"/>
  <c r="S4" i="1"/>
  <c r="S5" i="1"/>
  <c r="S6" i="1"/>
  <c r="S7" i="1"/>
  <c r="S8" i="1"/>
  <c r="S9" i="1"/>
  <c r="S2" i="1"/>
</calcChain>
</file>

<file path=xl/sharedStrings.xml><?xml version="1.0" encoding="utf-8"?>
<sst xmlns="http://schemas.openxmlformats.org/spreadsheetml/2006/main" count="36" uniqueCount="28">
  <si>
    <t>TOWER</t>
  </si>
  <si>
    <t>FLOOR</t>
  </si>
  <si>
    <t>FLAT NO.</t>
  </si>
  <si>
    <t>BASE RATE</t>
  </si>
  <si>
    <t>PLC</t>
  </si>
  <si>
    <t>FLOOR RISE</t>
  </si>
  <si>
    <t>CLUB HOUSE CHARGES</t>
  </si>
  <si>
    <t>A</t>
  </si>
  <si>
    <t>B</t>
  </si>
  <si>
    <t>C</t>
  </si>
  <si>
    <t>D</t>
  </si>
  <si>
    <t>UNIT TYPE</t>
  </si>
  <si>
    <t>2 BHK</t>
  </si>
  <si>
    <t>3 BHK - 2T</t>
  </si>
  <si>
    <t xml:space="preserve">2 BHK </t>
  </si>
  <si>
    <t>3 BHK</t>
  </si>
  <si>
    <t>SUPER BUILT UP AREA  (SQ.FT.)</t>
  </si>
  <si>
    <t>RERA CARPET AREA ( SQ.FT.)</t>
  </si>
  <si>
    <t>CAR PARK</t>
  </si>
  <si>
    <t>LEGAL &amp; DOCUMENTATION CHARGES</t>
  </si>
  <si>
    <t>SINKING FUND ( INTEREST FREE - PASS THROUGH TO OWNER'S ASSOCIASTION )</t>
  </si>
  <si>
    <t>ADVANCE MAINTENANCE FOR 1 YEAR</t>
  </si>
  <si>
    <t>GST FOR LEGAL &amp; DOCUMENTATION CHARGES AND ADVANCE MAINTENANCE CHARGES</t>
  </si>
  <si>
    <t>TOTAL BASE AMOUNT PER SQ.FT.</t>
  </si>
  <si>
    <t>GST ON THE TOTAL BASE PRICE</t>
  </si>
  <si>
    <t>TOTAL PRICE</t>
  </si>
  <si>
    <t>TOTAL BASE PRICE</t>
  </si>
  <si>
    <t>INFRA CHARGES ( INCLUDING POWER, WATER, GENERATOR, STP CHARGES ETC.) PER SQ.FT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</si>
</sst>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7F00-682E-F54B-A73C-B10EEDD18214}">
  <dimension ref="A1:T10"/>
  <sheetViews>
    <sheetView tabSelected="1" workbookViewId="0">
      <selection activeCell="E21" sqref="E21"/>
    </sheetView>
  </sheetViews>
  <sheetFormatPr baseColWidth="10" defaultRowHeight="16" x14ac:dyDescent="0.2"/>
  <cols>
    <col min="2" max="2" width="6.83203125" bestFit="1" customWidth="1"/>
    <col min="3" max="3" width="8.83203125" bestFit="1" customWidth="1"/>
    <col min="4" max="4" width="12.83203125" bestFit="1" customWidth="1"/>
    <col min="5" max="5" width="28" bestFit="1" customWidth="1"/>
    <col min="6" max="6" width="28" customWidth="1"/>
    <col min="8" max="8" width="7.1640625" customWidth="1"/>
    <col min="9" max="9" width="11" bestFit="1" customWidth="1"/>
    <col min="10" max="10" width="26" bestFit="1" customWidth="1"/>
    <col min="11" max="11" width="9.5" bestFit="1" customWidth="1"/>
    <col min="12" max="12" width="20.33203125" bestFit="1" customWidth="1"/>
    <col min="13" max="13" width="79.1640625" bestFit="1" customWidth="1"/>
    <col min="14" max="14" width="16.6640625" bestFit="1" customWidth="1"/>
    <col min="15" max="15" width="27.6640625" bestFit="1" customWidth="1"/>
    <col min="16" max="16" width="32.83203125" bestFit="1" customWidth="1"/>
    <col min="17" max="18" width="32.83203125" customWidth="1"/>
    <col min="19" max="19" width="70" bestFit="1" customWidth="1"/>
    <col min="20" max="20" width="14.83203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11</v>
      </c>
      <c r="E1" t="s">
        <v>16</v>
      </c>
      <c r="F1" t="s">
        <v>17</v>
      </c>
      <c r="G1" t="s">
        <v>3</v>
      </c>
      <c r="H1" t="s">
        <v>4</v>
      </c>
      <c r="I1" t="s">
        <v>5</v>
      </c>
      <c r="J1" t="s">
        <v>23</v>
      </c>
      <c r="K1" t="s">
        <v>18</v>
      </c>
      <c r="L1" t="s">
        <v>6</v>
      </c>
      <c r="M1" t="s">
        <v>27</v>
      </c>
      <c r="N1" t="s">
        <v>26</v>
      </c>
      <c r="O1" s="3" t="s">
        <v>24</v>
      </c>
      <c r="P1" t="s">
        <v>19</v>
      </c>
      <c r="Q1" t="s">
        <v>21</v>
      </c>
      <c r="R1" s="3" t="s">
        <v>22</v>
      </c>
      <c r="S1" t="s">
        <v>20</v>
      </c>
      <c r="T1" t="s">
        <v>25</v>
      </c>
    </row>
    <row r="2" spans="1:20" x14ac:dyDescent="0.2">
      <c r="A2" t="s">
        <v>7</v>
      </c>
      <c r="B2">
        <v>2</v>
      </c>
      <c r="C2">
        <v>201</v>
      </c>
      <c r="D2" t="s">
        <v>12</v>
      </c>
      <c r="E2">
        <v>1150</v>
      </c>
      <c r="F2">
        <f>E2*72%</f>
        <v>828</v>
      </c>
      <c r="G2">
        <v>9000</v>
      </c>
      <c r="H2" s="1">
        <v>100</v>
      </c>
      <c r="I2" s="1">
        <v>0</v>
      </c>
      <c r="J2" s="1">
        <f>(G2+H2+I2)*E2</f>
        <v>10465000</v>
      </c>
      <c r="K2" s="1">
        <v>300000</v>
      </c>
      <c r="L2" s="1">
        <v>400000</v>
      </c>
      <c r="M2" s="1">
        <v>300</v>
      </c>
      <c r="N2" s="1">
        <f>J2+K2+L2+(M2*E2)</f>
        <v>11510000</v>
      </c>
      <c r="O2" s="1">
        <f>N2*5%</f>
        <v>575500</v>
      </c>
      <c r="P2" s="1">
        <v>40000</v>
      </c>
      <c r="Q2" s="1">
        <f>E2*12*4</f>
        <v>55200</v>
      </c>
      <c r="R2" s="1">
        <f>(P2+Q2)*18%</f>
        <v>17136</v>
      </c>
      <c r="S2" s="1">
        <f>E2*12*4</f>
        <v>55200</v>
      </c>
      <c r="T2" s="2">
        <f>N2+O2+P2+Q2+R2+S2</f>
        <v>12253036</v>
      </c>
    </row>
    <row r="3" spans="1:20" x14ac:dyDescent="0.2">
      <c r="A3" t="s">
        <v>7</v>
      </c>
      <c r="B3">
        <v>3</v>
      </c>
      <c r="C3">
        <v>302</v>
      </c>
      <c r="D3" t="s">
        <v>13</v>
      </c>
      <c r="E3">
        <v>1400</v>
      </c>
      <c r="F3">
        <f t="shared" ref="F3:F9" si="0">E3*72%</f>
        <v>1008</v>
      </c>
      <c r="G3">
        <v>9000</v>
      </c>
      <c r="H3" s="1">
        <v>50</v>
      </c>
      <c r="I3" s="1">
        <v>30</v>
      </c>
      <c r="J3" s="1">
        <f t="shared" ref="J3:J9" si="1">(G3+H3+I3)*E3</f>
        <v>12712000</v>
      </c>
      <c r="K3" s="1">
        <v>300000</v>
      </c>
      <c r="L3" s="1">
        <v>400000</v>
      </c>
      <c r="M3" s="1">
        <v>300</v>
      </c>
      <c r="N3" s="1">
        <f t="shared" ref="N3:N9" si="2">J3+K3+L3+(M3*E3)</f>
        <v>13832000</v>
      </c>
      <c r="O3" s="1">
        <f t="shared" ref="O3:O9" si="3">N3*5%</f>
        <v>691600</v>
      </c>
      <c r="P3" s="1">
        <v>40000</v>
      </c>
      <c r="Q3" s="1">
        <f>E3*12*4</f>
        <v>67200</v>
      </c>
      <c r="R3" s="1">
        <f t="shared" ref="R3:R9" si="4">(P3+Q3)*18%</f>
        <v>19296</v>
      </c>
      <c r="S3" s="1">
        <f>E3*12*4</f>
        <v>67200</v>
      </c>
      <c r="T3" s="2">
        <f t="shared" ref="T3:T9" si="5">N3+O3+P3+Q3+R3+S3</f>
        <v>14717296</v>
      </c>
    </row>
    <row r="4" spans="1:20" x14ac:dyDescent="0.2">
      <c r="A4" t="s">
        <v>8</v>
      </c>
      <c r="B4">
        <v>4</v>
      </c>
      <c r="C4">
        <v>403</v>
      </c>
      <c r="D4" t="s">
        <v>13</v>
      </c>
      <c r="E4">
        <v>1450</v>
      </c>
      <c r="F4">
        <f t="shared" si="0"/>
        <v>1044</v>
      </c>
      <c r="G4">
        <v>9000</v>
      </c>
      <c r="H4" s="1">
        <v>100</v>
      </c>
      <c r="I4" s="1">
        <v>60</v>
      </c>
      <c r="J4" s="1">
        <f t="shared" si="1"/>
        <v>13282000</v>
      </c>
      <c r="K4" s="1">
        <v>300000</v>
      </c>
      <c r="L4" s="1">
        <v>400000</v>
      </c>
      <c r="M4" s="1">
        <v>300</v>
      </c>
      <c r="N4" s="1">
        <f t="shared" si="2"/>
        <v>14417000</v>
      </c>
      <c r="O4" s="1">
        <f t="shared" si="3"/>
        <v>720850</v>
      </c>
      <c r="P4" s="1">
        <v>40000</v>
      </c>
      <c r="Q4" s="1">
        <f>E4*12*4</f>
        <v>69600</v>
      </c>
      <c r="R4" s="1">
        <f t="shared" si="4"/>
        <v>19728</v>
      </c>
      <c r="S4" s="1">
        <f>E4*12*4</f>
        <v>69600</v>
      </c>
      <c r="T4" s="2">
        <f t="shared" si="5"/>
        <v>15336778</v>
      </c>
    </row>
    <row r="5" spans="1:20" x14ac:dyDescent="0.2">
      <c r="A5" t="s">
        <v>8</v>
      </c>
      <c r="B5">
        <v>5</v>
      </c>
      <c r="C5">
        <v>504</v>
      </c>
      <c r="D5" t="s">
        <v>13</v>
      </c>
      <c r="E5">
        <v>1500</v>
      </c>
      <c r="F5">
        <f t="shared" si="0"/>
        <v>1080</v>
      </c>
      <c r="G5">
        <v>9000</v>
      </c>
      <c r="H5" s="1">
        <v>150</v>
      </c>
      <c r="I5" s="1">
        <v>90</v>
      </c>
      <c r="J5" s="1">
        <f t="shared" si="1"/>
        <v>13860000</v>
      </c>
      <c r="K5" s="1">
        <v>300000</v>
      </c>
      <c r="L5" s="1">
        <v>400000</v>
      </c>
      <c r="M5" s="1">
        <v>300</v>
      </c>
      <c r="N5" s="1">
        <f t="shared" si="2"/>
        <v>15010000</v>
      </c>
      <c r="O5" s="1">
        <f t="shared" si="3"/>
        <v>750500</v>
      </c>
      <c r="P5" s="1">
        <v>40000</v>
      </c>
      <c r="Q5" s="1">
        <f>E5*12*4</f>
        <v>72000</v>
      </c>
      <c r="R5" s="1">
        <f t="shared" si="4"/>
        <v>20160</v>
      </c>
      <c r="S5" s="1">
        <f>E5*12*4</f>
        <v>72000</v>
      </c>
      <c r="T5" s="2">
        <f t="shared" si="5"/>
        <v>15964660</v>
      </c>
    </row>
    <row r="6" spans="1:20" x14ac:dyDescent="0.2">
      <c r="A6" t="s">
        <v>9</v>
      </c>
      <c r="B6">
        <v>6</v>
      </c>
      <c r="C6">
        <v>605</v>
      </c>
      <c r="D6" t="s">
        <v>15</v>
      </c>
      <c r="E6">
        <v>1550</v>
      </c>
      <c r="F6">
        <f t="shared" si="0"/>
        <v>1116</v>
      </c>
      <c r="G6">
        <v>9000</v>
      </c>
      <c r="H6" s="1">
        <v>100</v>
      </c>
      <c r="I6" s="1">
        <v>120</v>
      </c>
      <c r="J6" s="1">
        <f t="shared" si="1"/>
        <v>14291000</v>
      </c>
      <c r="K6" s="1">
        <v>300000</v>
      </c>
      <c r="L6" s="1">
        <v>400000</v>
      </c>
      <c r="M6" s="1">
        <v>300</v>
      </c>
      <c r="N6" s="1">
        <f t="shared" si="2"/>
        <v>15456000</v>
      </c>
      <c r="O6" s="1">
        <f t="shared" si="3"/>
        <v>772800</v>
      </c>
      <c r="P6" s="1">
        <v>40000</v>
      </c>
      <c r="Q6" s="1">
        <f>E6*12*4</f>
        <v>74400</v>
      </c>
      <c r="R6" s="1">
        <f t="shared" si="4"/>
        <v>20592</v>
      </c>
      <c r="S6" s="1">
        <f>E6*12*4</f>
        <v>74400</v>
      </c>
      <c r="T6" s="2">
        <f t="shared" si="5"/>
        <v>16438192</v>
      </c>
    </row>
    <row r="7" spans="1:20" x14ac:dyDescent="0.2">
      <c r="A7" t="s">
        <v>9</v>
      </c>
      <c r="B7">
        <v>7</v>
      </c>
      <c r="C7">
        <v>706</v>
      </c>
      <c r="D7" t="s">
        <v>15</v>
      </c>
      <c r="E7">
        <v>1600</v>
      </c>
      <c r="F7">
        <f t="shared" si="0"/>
        <v>1152</v>
      </c>
      <c r="G7">
        <v>9000</v>
      </c>
      <c r="H7" s="1">
        <v>50</v>
      </c>
      <c r="I7" s="1">
        <v>150</v>
      </c>
      <c r="J7" s="1">
        <f t="shared" si="1"/>
        <v>14720000</v>
      </c>
      <c r="K7" s="1">
        <v>300000</v>
      </c>
      <c r="L7" s="1">
        <v>400000</v>
      </c>
      <c r="M7" s="1">
        <v>300</v>
      </c>
      <c r="N7" s="1">
        <f t="shared" si="2"/>
        <v>15900000</v>
      </c>
      <c r="O7" s="1">
        <f t="shared" si="3"/>
        <v>795000</v>
      </c>
      <c r="P7" s="1">
        <v>40000</v>
      </c>
      <c r="Q7" s="1">
        <f>E7*12*4</f>
        <v>76800</v>
      </c>
      <c r="R7" s="1">
        <f t="shared" si="4"/>
        <v>21024</v>
      </c>
      <c r="S7" s="1">
        <f>E7*12*4</f>
        <v>76800</v>
      </c>
      <c r="T7" s="2">
        <f t="shared" si="5"/>
        <v>16909624</v>
      </c>
    </row>
    <row r="8" spans="1:20" x14ac:dyDescent="0.2">
      <c r="A8" t="s">
        <v>10</v>
      </c>
      <c r="B8">
        <v>8</v>
      </c>
      <c r="C8">
        <v>802</v>
      </c>
      <c r="D8" t="s">
        <v>12</v>
      </c>
      <c r="E8">
        <v>1050</v>
      </c>
      <c r="F8">
        <f t="shared" si="0"/>
        <v>756</v>
      </c>
      <c r="G8">
        <v>9000</v>
      </c>
      <c r="H8" s="1">
        <v>30</v>
      </c>
      <c r="I8" s="1">
        <v>180</v>
      </c>
      <c r="J8" s="1">
        <f t="shared" si="1"/>
        <v>9670500</v>
      </c>
      <c r="K8" s="1">
        <v>300000</v>
      </c>
      <c r="L8" s="1">
        <v>400000</v>
      </c>
      <c r="M8" s="1">
        <v>300</v>
      </c>
      <c r="N8" s="1">
        <f t="shared" si="2"/>
        <v>10685500</v>
      </c>
      <c r="O8" s="1">
        <f t="shared" si="3"/>
        <v>534275</v>
      </c>
      <c r="P8" s="1">
        <v>40000</v>
      </c>
      <c r="Q8" s="1">
        <f>E8*12*4</f>
        <v>50400</v>
      </c>
      <c r="R8" s="1">
        <f t="shared" si="4"/>
        <v>16272</v>
      </c>
      <c r="S8" s="1">
        <f>E8*12*4</f>
        <v>50400</v>
      </c>
      <c r="T8" s="2">
        <f t="shared" si="5"/>
        <v>11376847</v>
      </c>
    </row>
    <row r="9" spans="1:20" x14ac:dyDescent="0.2">
      <c r="A9" t="s">
        <v>10</v>
      </c>
      <c r="B9">
        <v>9</v>
      </c>
      <c r="C9">
        <v>904</v>
      </c>
      <c r="D9" t="s">
        <v>14</v>
      </c>
      <c r="E9">
        <v>1100</v>
      </c>
      <c r="F9">
        <f t="shared" si="0"/>
        <v>792</v>
      </c>
      <c r="G9">
        <v>9000</v>
      </c>
      <c r="H9" s="1">
        <v>50</v>
      </c>
      <c r="I9" s="1">
        <v>210</v>
      </c>
      <c r="J9" s="1">
        <f t="shared" si="1"/>
        <v>10186000</v>
      </c>
      <c r="K9" s="1">
        <v>300000</v>
      </c>
      <c r="L9" s="1">
        <v>400000</v>
      </c>
      <c r="M9" s="1">
        <v>300</v>
      </c>
      <c r="N9" s="1">
        <f t="shared" si="2"/>
        <v>11216000</v>
      </c>
      <c r="O9" s="1">
        <f t="shared" si="3"/>
        <v>560800</v>
      </c>
      <c r="P9" s="1">
        <v>40000</v>
      </c>
      <c r="Q9" s="1">
        <f>E9*12*4</f>
        <v>52800</v>
      </c>
      <c r="R9" s="1">
        <f t="shared" si="4"/>
        <v>16704</v>
      </c>
      <c r="S9" s="1">
        <f>E9*12*4</f>
        <v>52800</v>
      </c>
      <c r="T9" s="2">
        <f t="shared" si="5"/>
        <v>11939104</v>
      </c>
    </row>
    <row r="10" spans="1:20" x14ac:dyDescent="0.2"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2026-05-27T07:10:25Z</dcterms:created>
  <dcterms:modified xsi:type="dcterms:W3CDTF">2026-05-27T08:31:25Z</dcterms:modified>
</cp:coreProperties>
</file>